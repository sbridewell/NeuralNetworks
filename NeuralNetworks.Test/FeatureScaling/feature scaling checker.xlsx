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\source\repos\NeuralNetworks\NeuralNetworks.Test\FeatureScaling\"/>
    </mc:Choice>
  </mc:AlternateContent>
  <xr:revisionPtr revIDLastSave="0" documentId="13_ncr:2001_{07E7C126-AF57-40D5-95AB-3CDA9D6367A8}" xr6:coauthVersionLast="47" xr6:coauthVersionMax="47" xr10:uidLastSave="{00000000-0000-0000-0000-000000000000}"/>
  <bookViews>
    <workbookView xWindow="-55860" yWindow="30" windowWidth="26865" windowHeight="11295" activeTab="2" xr2:uid="{312A9268-7947-4495-9E35-DA32BA9258CD}"/>
  </bookViews>
  <sheets>
    <sheet name="z-score and stdDev" sheetId="1" r:id="rId1"/>
    <sheet name="Euclidian" sheetId="2" r:id="rId2"/>
    <sheet name="Min-max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K4" i="3"/>
  <c r="H3" i="3"/>
  <c r="G3" i="3"/>
  <c r="F3" i="3"/>
  <c r="E3" i="3"/>
  <c r="E4" i="1"/>
  <c r="F4" i="1"/>
  <c r="E5" i="1"/>
  <c r="F5" i="1"/>
  <c r="E6" i="1"/>
  <c r="F6" i="1"/>
  <c r="E3" i="1"/>
  <c r="F3" i="1"/>
  <c r="H3" i="1"/>
  <c r="R3" i="2"/>
  <c r="Q3" i="2"/>
  <c r="N4" i="2"/>
  <c r="O4" i="2"/>
  <c r="N5" i="2"/>
  <c r="O5" i="2"/>
  <c r="N6" i="2"/>
  <c r="O6" i="2"/>
  <c r="O3" i="2"/>
  <c r="N3" i="2"/>
  <c r="F4" i="2"/>
  <c r="F3" i="2"/>
  <c r="F5" i="2"/>
  <c r="F6" i="2"/>
  <c r="E4" i="2"/>
  <c r="E5" i="2"/>
  <c r="E6" i="2"/>
  <c r="E3" i="2"/>
  <c r="I4" i="1"/>
  <c r="I5" i="1"/>
  <c r="I6" i="1"/>
  <c r="I3" i="1"/>
  <c r="H4" i="1"/>
  <c r="H5" i="1"/>
  <c r="H6" i="1"/>
  <c r="M5" i="1"/>
  <c r="L5" i="1"/>
  <c r="M3" i="1"/>
  <c r="M4" i="1"/>
  <c r="L4" i="1"/>
  <c r="L3" i="1"/>
  <c r="K3" i="3" l="1"/>
  <c r="K5" i="3"/>
  <c r="K6" i="3"/>
  <c r="J3" i="3"/>
  <c r="J5" i="3"/>
  <c r="J6" i="3"/>
  <c r="I3" i="2"/>
  <c r="H3" i="2"/>
  <c r="L6" i="2" l="1"/>
  <c r="L3" i="2"/>
  <c r="L4" i="2"/>
  <c r="L5" i="2"/>
  <c r="K6" i="2"/>
  <c r="K4" i="2"/>
  <c r="K5" i="2"/>
  <c r="K3" i="2"/>
</calcChain>
</file>

<file path=xl/sharedStrings.xml><?xml version="1.0" encoding="utf-8"?>
<sst xmlns="http://schemas.openxmlformats.org/spreadsheetml/2006/main" count="56" uniqueCount="20">
  <si>
    <t>Feature 1</t>
  </si>
  <si>
    <t>Feature 2</t>
  </si>
  <si>
    <t>Means</t>
  </si>
  <si>
    <t>Record 1</t>
  </si>
  <si>
    <t>Record 2</t>
  </si>
  <si>
    <t>Standard deviations (sample)</t>
  </si>
  <si>
    <t>Standard deviations (population)</t>
  </si>
  <si>
    <t>Record 3</t>
  </si>
  <si>
    <t>Original data</t>
  </si>
  <si>
    <t>Standardised using population stdDev</t>
  </si>
  <si>
    <t>Standardised using sample stdDev</t>
  </si>
  <si>
    <t>Record 4</t>
  </si>
  <si>
    <t>Scaled</t>
  </si>
  <si>
    <t>Euclidian magnitudes</t>
  </si>
  <si>
    <t>Squared values</t>
  </si>
  <si>
    <t>Scaled Euclidean magnitudes</t>
  </si>
  <si>
    <t>Scaled squared</t>
  </si>
  <si>
    <t>Minimum values</t>
  </si>
  <si>
    <t>Maximum values</t>
  </si>
  <si>
    <t>Scaled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</si>
</sst>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2" fontId="0" fillId="0" borderId="0" xfId="0" applyNumberFormat="1" applyAlignment="1"/>
    <xf numFmtId="2" fontId="0" fillId="0" borderId="0" xfId="0" applyNumberFormat="1" applyAlignme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1460-73F1-443A-AEFD-30ECC48B42F1}">
  <dimension ref="A1:M6"/>
  <sheetViews>
    <sheetView workbookViewId="0">
      <selection activeCell="D3" sqref="D3"/>
    </sheetView>
  </sheetViews>
  <sheetFormatPr defaultRowHeight="15" x14ac:dyDescent="0.25"/>
  <cols>
    <col min="4" max="4" width="4.42578125" customWidth="1"/>
    <col min="5" max="6" width="12.7109375" bestFit="1" customWidth="1"/>
    <col min="7" max="7" width="3.85546875" customWidth="1"/>
    <col min="8" max="9" width="12.7109375" bestFit="1" customWidth="1"/>
    <col min="10" max="10" width="4" customWidth="1"/>
    <col min="11" max="11" width="30.85546875" bestFit="1" customWidth="1"/>
    <col min="12" max="13" width="12" bestFit="1" customWidth="1"/>
  </cols>
  <sheetData>
    <row r="1" spans="1:13" ht="29.25" customHeight="1" x14ac:dyDescent="0.25">
      <c r="B1" s="3" t="s">
        <v>8</v>
      </c>
      <c r="C1" s="3"/>
      <c r="E1" s="4" t="s">
        <v>9</v>
      </c>
      <c r="F1" s="4"/>
      <c r="H1" s="4" t="s">
        <v>10</v>
      </c>
      <c r="I1" s="4"/>
    </row>
    <row r="2" spans="1:13" x14ac:dyDescent="0.25">
      <c r="B2" s="1" t="s">
        <v>0</v>
      </c>
      <c r="C2" s="1" t="s">
        <v>1</v>
      </c>
      <c r="E2" s="1" t="s">
        <v>0</v>
      </c>
      <c r="F2" s="1" t="s">
        <v>1</v>
      </c>
      <c r="H2" s="1" t="s">
        <v>0</v>
      </c>
      <c r="I2" s="1" t="s">
        <v>1</v>
      </c>
      <c r="L2" s="2" t="s">
        <v>0</v>
      </c>
      <c r="M2" s="2" t="s">
        <v>1</v>
      </c>
    </row>
    <row r="3" spans="1:13" x14ac:dyDescent="0.25">
      <c r="A3" s="2" t="s">
        <v>3</v>
      </c>
      <c r="B3" s="2">
        <v>1</v>
      </c>
      <c r="C3" s="2">
        <v>6</v>
      </c>
      <c r="E3" s="2">
        <f>STANDARDIZE(B3,L$3,L$4)</f>
        <v>-1.3055824196677337</v>
      </c>
      <c r="F3" s="2">
        <f>STANDARDIZE(C3,M$3,M$4)</f>
        <v>0.9209401941068136</v>
      </c>
      <c r="H3" s="2">
        <f>STANDARDIZE(B3,L$3,L$5)</f>
        <v>-1.507556722888818</v>
      </c>
      <c r="I3" s="2">
        <f>STANDARDIZE(C3,M$3,M$5)</f>
        <v>1.0634101379502299</v>
      </c>
      <c r="K3" s="2" t="s">
        <v>2</v>
      </c>
      <c r="L3" s="2">
        <f>AVERAGE(B:B)</f>
        <v>3.5</v>
      </c>
      <c r="M3" s="2">
        <f>AVERAGE(C:C)</f>
        <v>3.25</v>
      </c>
    </row>
    <row r="4" spans="1:13" x14ac:dyDescent="0.25">
      <c r="A4" s="2" t="s">
        <v>4</v>
      </c>
      <c r="B4" s="2">
        <v>5</v>
      </c>
      <c r="C4" s="2">
        <v>-1</v>
      </c>
      <c r="E4" s="2">
        <f t="shared" ref="E4:E6" si="0">STANDARDIZE(B4,L$3,L$4)</f>
        <v>0.78334945180064031</v>
      </c>
      <c r="F4" s="2">
        <f t="shared" ref="F4:F6" si="1">STANDARDIZE(C4,M$3,M$4)</f>
        <v>-1.4232712090741664</v>
      </c>
      <c r="H4" s="2">
        <f t="shared" ref="H4:H6" si="2">STANDARDIZE(B4,L$3,L$5)</f>
        <v>0.90453403373329089</v>
      </c>
      <c r="I4" s="2">
        <f t="shared" ref="I4:I6" si="3">STANDARDIZE(C4,M$3,M$5)</f>
        <v>-1.643452031377628</v>
      </c>
      <c r="K4" s="2" t="s">
        <v>5</v>
      </c>
      <c r="L4" s="2">
        <f>_xlfn.STDEV.S(B:B)</f>
        <v>1.9148542155126762</v>
      </c>
      <c r="M4" s="2">
        <f>_xlfn.STDEV.S(C:C)</f>
        <v>2.9860788111948193</v>
      </c>
    </row>
    <row r="5" spans="1:13" x14ac:dyDescent="0.25">
      <c r="A5" s="2" t="s">
        <v>7</v>
      </c>
      <c r="B5" s="2">
        <v>3</v>
      </c>
      <c r="C5" s="2">
        <v>4</v>
      </c>
      <c r="E5" s="2">
        <f t="shared" si="0"/>
        <v>-0.26111648393354675</v>
      </c>
      <c r="F5" s="2">
        <f t="shared" si="1"/>
        <v>0.25116550748367644</v>
      </c>
      <c r="H5" s="2">
        <f t="shared" si="2"/>
        <v>-0.30151134457776363</v>
      </c>
      <c r="I5" s="2">
        <f t="shared" si="3"/>
        <v>0.29002094671369905</v>
      </c>
      <c r="K5" s="2" t="s">
        <v>6</v>
      </c>
      <c r="L5" s="2">
        <f>_xlfn.STDEV.P(B:B)</f>
        <v>1.6583123951776999</v>
      </c>
      <c r="M5" s="2">
        <f>_xlfn.STDEV.P(C:C)</f>
        <v>2.5860201081971503</v>
      </c>
    </row>
    <row r="6" spans="1:13" x14ac:dyDescent="0.25">
      <c r="A6" s="2" t="s">
        <v>11</v>
      </c>
      <c r="B6" s="2">
        <v>5</v>
      </c>
      <c r="C6" s="2">
        <v>4</v>
      </c>
      <c r="E6" s="2">
        <f t="shared" si="0"/>
        <v>0.78334945180064031</v>
      </c>
      <c r="F6" s="2">
        <f t="shared" si="1"/>
        <v>0.25116550748367644</v>
      </c>
      <c r="H6" s="2">
        <f t="shared" si="2"/>
        <v>0.90453403373329089</v>
      </c>
      <c r="I6" s="2">
        <f t="shared" si="3"/>
        <v>0.29002094671369905</v>
      </c>
    </row>
  </sheetData>
  <mergeCells count="3">
    <mergeCell ref="B1:C1"/>
    <mergeCell ref="E1:F1"/>
    <mergeCell ref="H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FC3B-C99D-417D-8DD4-F85413747D5F}">
  <dimension ref="A1:R6"/>
  <sheetViews>
    <sheetView workbookViewId="0">
      <selection activeCell="B3" sqref="B3:C6"/>
    </sheetView>
  </sheetViews>
  <sheetFormatPr defaultRowHeight="15" x14ac:dyDescent="0.25"/>
  <cols>
    <col min="11" max="11" width="12" bestFit="1" customWidth="1"/>
    <col min="12" max="12" width="12.7109375" bestFit="1" customWidth="1"/>
  </cols>
  <sheetData>
    <row r="1" spans="1:18" x14ac:dyDescent="0.25">
      <c r="B1" s="5" t="s">
        <v>8</v>
      </c>
      <c r="C1" s="5"/>
      <c r="D1" s="6"/>
      <c r="E1" s="6" t="s">
        <v>14</v>
      </c>
      <c r="F1" s="6"/>
      <c r="H1" t="s">
        <v>13</v>
      </c>
      <c r="K1" t="s">
        <v>12</v>
      </c>
      <c r="N1" t="s">
        <v>16</v>
      </c>
      <c r="Q1" t="s">
        <v>15</v>
      </c>
    </row>
    <row r="2" spans="1:18" x14ac:dyDescent="0.25">
      <c r="B2" t="s">
        <v>0</v>
      </c>
      <c r="C2" t="s">
        <v>1</v>
      </c>
      <c r="E2" t="s">
        <v>0</v>
      </c>
      <c r="F2" t="s">
        <v>1</v>
      </c>
      <c r="H2" t="s">
        <v>0</v>
      </c>
      <c r="I2" t="s">
        <v>1</v>
      </c>
      <c r="K2" t="s">
        <v>0</v>
      </c>
      <c r="L2" t="s">
        <v>1</v>
      </c>
      <c r="N2" t="s">
        <v>0</v>
      </c>
      <c r="O2" t="s">
        <v>1</v>
      </c>
      <c r="Q2" t="s">
        <v>0</v>
      </c>
      <c r="R2" t="s">
        <v>1</v>
      </c>
    </row>
    <row r="3" spans="1:18" x14ac:dyDescent="0.25">
      <c r="A3" t="s">
        <v>3</v>
      </c>
      <c r="B3">
        <v>1</v>
      </c>
      <c r="C3">
        <v>-23</v>
      </c>
      <c r="E3">
        <f>POWER(B3,2)</f>
        <v>1</v>
      </c>
      <c r="F3">
        <f>POWER(C3,2)</f>
        <v>529</v>
      </c>
      <c r="H3" s="7">
        <f>SUM(E:E)</f>
        <v>30</v>
      </c>
      <c r="I3" s="7">
        <f>SUM(F:F)</f>
        <v>3654.04</v>
      </c>
      <c r="K3">
        <f>B3/H$3</f>
        <v>3.3333333333333333E-2</v>
      </c>
      <c r="L3">
        <f>C3/I$3</f>
        <v>-6.2944029074668041E-3</v>
      </c>
      <c r="N3">
        <f>POWER(K3,2)</f>
        <v>1.1111111111111111E-3</v>
      </c>
      <c r="O3">
        <f>POWER(L3,2)</f>
        <v>3.9619507961526555E-5</v>
      </c>
      <c r="Q3">
        <f>SQRT(SUM(N:N))</f>
        <v>0.18257418583505539</v>
      </c>
      <c r="R3">
        <f>SQRT(SUM(O:O))</f>
        <v>1.6542965019276063E-2</v>
      </c>
    </row>
    <row r="4" spans="1:18" x14ac:dyDescent="0.25">
      <c r="A4" t="s">
        <v>4</v>
      </c>
      <c r="B4">
        <v>2</v>
      </c>
      <c r="C4">
        <v>55</v>
      </c>
      <c r="E4">
        <f t="shared" ref="E4:F6" si="0">POWER(B4,2)</f>
        <v>4</v>
      </c>
      <c r="F4">
        <f>POWER(C4,2)</f>
        <v>3025</v>
      </c>
      <c r="K4">
        <f>B4/H$3</f>
        <v>6.6666666666666666E-2</v>
      </c>
      <c r="L4">
        <f>C4/I$3</f>
        <v>1.5051833039594531E-2</v>
      </c>
      <c r="N4">
        <f t="shared" ref="N4:N6" si="1">POWER(K4,2)</f>
        <v>4.4444444444444444E-3</v>
      </c>
      <c r="O4">
        <f t="shared" ref="O4:O6" si="2">POWER(L4,2)</f>
        <v>2.2655767785182955E-4</v>
      </c>
    </row>
    <row r="5" spans="1:18" x14ac:dyDescent="0.25">
      <c r="A5" t="s">
        <v>7</v>
      </c>
      <c r="B5">
        <v>3</v>
      </c>
      <c r="C5">
        <v>0.2</v>
      </c>
      <c r="E5">
        <f t="shared" si="0"/>
        <v>9</v>
      </c>
      <c r="F5">
        <f t="shared" si="0"/>
        <v>4.0000000000000008E-2</v>
      </c>
      <c r="K5">
        <f>B5/H$3</f>
        <v>0.1</v>
      </c>
      <c r="L5">
        <f>C5/I$3</f>
        <v>5.4733938325798299E-5</v>
      </c>
      <c r="N5">
        <f t="shared" si="1"/>
        <v>1.0000000000000002E-2</v>
      </c>
      <c r="O5">
        <f t="shared" si="2"/>
        <v>2.995804004652292E-9</v>
      </c>
    </row>
    <row r="6" spans="1:18" x14ac:dyDescent="0.25">
      <c r="A6" t="s">
        <v>11</v>
      </c>
      <c r="B6">
        <v>4</v>
      </c>
      <c r="C6">
        <v>-10</v>
      </c>
      <c r="E6">
        <f t="shared" si="0"/>
        <v>16</v>
      </c>
      <c r="F6">
        <f t="shared" si="0"/>
        <v>100</v>
      </c>
      <c r="K6">
        <f>B6/H$3</f>
        <v>0.13333333333333333</v>
      </c>
      <c r="L6">
        <f>C6/I$3</f>
        <v>-2.7366969162899149E-3</v>
      </c>
      <c r="N6">
        <f t="shared" si="1"/>
        <v>1.7777777777777778E-2</v>
      </c>
      <c r="O6">
        <f t="shared" si="2"/>
        <v>7.4895100116307296E-6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0858-7ECF-43D3-8DE4-323BA3D29D5E}">
  <dimension ref="A1:K6"/>
  <sheetViews>
    <sheetView tabSelected="1" workbookViewId="0">
      <selection activeCell="B3" sqref="B3:C6"/>
    </sheetView>
  </sheetViews>
  <sheetFormatPr defaultRowHeight="15" x14ac:dyDescent="0.25"/>
  <sheetData>
    <row r="1" spans="1:11" x14ac:dyDescent="0.25">
      <c r="B1" t="s">
        <v>8</v>
      </c>
      <c r="E1" t="s">
        <v>17</v>
      </c>
      <c r="G1" t="s">
        <v>18</v>
      </c>
      <c r="J1" t="s">
        <v>19</v>
      </c>
    </row>
    <row r="2" spans="1:11" x14ac:dyDescent="0.25">
      <c r="B2" t="s">
        <v>0</v>
      </c>
      <c r="C2" t="s">
        <v>1</v>
      </c>
      <c r="E2" t="s">
        <v>0</v>
      </c>
      <c r="F2" t="s">
        <v>1</v>
      </c>
      <c r="G2" t="s">
        <v>0</v>
      </c>
      <c r="H2" t="s">
        <v>1</v>
      </c>
      <c r="J2" t="s">
        <v>0</v>
      </c>
      <c r="K2" t="s">
        <v>1</v>
      </c>
    </row>
    <row r="3" spans="1:11" x14ac:dyDescent="0.25">
      <c r="A3" t="s">
        <v>3</v>
      </c>
      <c r="B3">
        <v>1</v>
      </c>
      <c r="C3">
        <v>-23</v>
      </c>
      <c r="E3">
        <f>MIN(B:B)</f>
        <v>1</v>
      </c>
      <c r="F3">
        <f>MIN(C:C)</f>
        <v>-23</v>
      </c>
      <c r="G3">
        <f>MAX(B:B)</f>
        <v>4</v>
      </c>
      <c r="H3">
        <f>MAX(C:C)</f>
        <v>55</v>
      </c>
      <c r="J3">
        <f>(B3-E$3)/(G$3-E$3)</f>
        <v>0</v>
      </c>
      <c r="K3">
        <f>(C3-F$3)/(H$3-F$3)</f>
        <v>0</v>
      </c>
    </row>
    <row r="4" spans="1:11" x14ac:dyDescent="0.25">
      <c r="A4" t="s">
        <v>4</v>
      </c>
      <c r="B4">
        <v>2</v>
      </c>
      <c r="C4">
        <v>55</v>
      </c>
      <c r="J4">
        <f t="shared" ref="J4:J6" si="0">(B4-E$3)/(G$3-E$3)</f>
        <v>0.33333333333333331</v>
      </c>
      <c r="K4">
        <f t="shared" ref="K4:K6" si="1">(C4-F$3)/(H$3-F$3)</f>
        <v>1</v>
      </c>
    </row>
    <row r="5" spans="1:11" x14ac:dyDescent="0.25">
      <c r="A5" t="s">
        <v>7</v>
      </c>
      <c r="B5">
        <v>3</v>
      </c>
      <c r="C5">
        <v>0.2</v>
      </c>
      <c r="J5">
        <f t="shared" si="0"/>
        <v>0.66666666666666663</v>
      </c>
      <c r="K5">
        <f t="shared" si="1"/>
        <v>0.29743589743589743</v>
      </c>
    </row>
    <row r="6" spans="1:11" x14ac:dyDescent="0.25">
      <c r="A6" t="s">
        <v>11</v>
      </c>
      <c r="B6">
        <v>4</v>
      </c>
      <c r="C6">
        <v>-10</v>
      </c>
      <c r="J6">
        <f t="shared" si="0"/>
        <v>1</v>
      </c>
      <c r="K6">
        <f t="shared" si="1"/>
        <v>0.16666666666666666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z-score and stdDev</vt:lpstr>
      <vt:lpstr>Euclidian</vt:lpstr>
      <vt:lpstr>Min-max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Bridewell</dc:creator>
  <cp:lastModifiedBy>Simon Bridewell</cp:lastModifiedBy>
  <dcterms:created xsi:type="dcterms:W3CDTF">2026-03-08T12:48:03Z</dcterms:created>
  <dcterms:modified xsi:type="dcterms:W3CDTF">2026-03-13T17:58:40Z</dcterms:modified>
</cp:coreProperties>
</file>